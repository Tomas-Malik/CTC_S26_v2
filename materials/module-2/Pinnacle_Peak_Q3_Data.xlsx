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onthly Revenue" sheetId="2" r:id="rId6"/>
    <sheet state="visible" name="Service Tickets" sheetId="3" r:id="rId7"/>
    <sheet state="visible" name="Technician Performance" sheetId="4" r:id="rId8"/>
    <sheet state="visible" name="Customer Satisfaction" sheetId="5" r:id="rId9"/>
    <sheet state="visible" name="Regional Breakdown" sheetId="6" r:id="rId10"/>
    <sheet state="visible" name="Q3 2023 Archive" sheetId="7" r:id="rId11"/>
    <sheet state="visible" name="OLD - do not use" sheetId="8" r:id="rId12"/>
    <sheet state="visible" name="Expenses" sheetId="9" r:id="rId13"/>
    <sheet state="visible" name="Target vs Actual" sheetId="10" r:id="rId14"/>
    <sheet state="visible" name="Ottawa Pilot (CAD)" sheetId="11" r:id="rId15"/>
    <sheet state="visible" name="Headcount" sheetId="12" r:id="rId16"/>
  </sheets>
  <definedNames/>
  <calcPr/>
</workbook>
</file>

<file path=xl/sharedStrings.xml><?xml version="1.0" encoding="utf-8"?>
<sst xmlns="http://schemas.openxmlformats.org/spreadsheetml/2006/main" count="381" uniqueCount="181">
  <si>
    <t>Technician Performance — Q3 2024</t>
  </si>
  <si>
    <t>Pinnacle Peak Home Services — Q3 Overview</t>
  </si>
  <si>
    <t>Monthly Revenue — Pinnacle Peak Home Services ($USD)</t>
  </si>
  <si>
    <t>Service Tickets — Q3 2024</t>
  </si>
  <si>
    <t>Ticket ID</t>
  </si>
  <si>
    <t>Last updated:</t>
  </si>
  <si>
    <t>Date</t>
  </si>
  <si>
    <t>Service Type</t>
  </si>
  <si>
    <t>Technician ID</t>
  </si>
  <si>
    <t>Region</t>
  </si>
  <si>
    <t>Month</t>
  </si>
  <si>
    <t>Job Duration (hrs)</t>
  </si>
  <si>
    <t>Customer Rating (1-5)</t>
  </si>
  <si>
    <t>Status</t>
  </si>
  <si>
    <t>August 2024</t>
  </si>
  <si>
    <t>T-0041</t>
  </si>
  <si>
    <t>Prepared by:</t>
  </si>
  <si>
    <t>Sandra K. (on mat leave)</t>
  </si>
  <si>
    <t>2024-07-02</t>
  </si>
  <si>
    <t>⚠ NOTE: See tabs below for raw data. Dashboard formulas need updating — ask Sandra.</t>
  </si>
  <si>
    <t>HVAC</t>
  </si>
  <si>
    <t>T03</t>
  </si>
  <si>
    <t>North</t>
  </si>
  <si>
    <t>KEY METRIC PLACEHOLDER</t>
  </si>
  <si>
    <t>Total Revenue Q3 2024</t>
  </si>
  <si>
    <t>Completed</t>
  </si>
  <si>
    <t>Revenue Q3 2024 ($)</t>
  </si>
  <si>
    <t>T-0042</t>
  </si>
  <si>
    <t>Revenue Q3 2023 ($)</t>
  </si>
  <si>
    <t>Target Q3 2024 ($)</t>
  </si>
  <si>
    <t>2024-07-05</t>
  </si>
  <si>
    <t>Plumbing</t>
  </si>
  <si>
    <t>vs Target</t>
  </si>
  <si>
    <t>T07</t>
  </si>
  <si>
    <t>Name</t>
  </si>
  <si>
    <t>South</t>
  </si>
  <si>
    <t>July 2024</t>
  </si>
  <si>
    <t>Jobs Completed</t>
  </si>
  <si>
    <t>Avg Rating</t>
  </si>
  <si>
    <t>T-0043</t>
  </si>
  <si>
    <t>On-Time %</t>
  </si>
  <si>
    <t>2024-07-08</t>
  </si>
  <si>
    <t>Cleaning</t>
  </si>
  <si>
    <t>Notes</t>
  </si>
  <si>
    <t>T12</t>
  </si>
  <si>
    <t>East</t>
  </si>
  <si>
    <t>Marcus Webb</t>
  </si>
  <si>
    <t>T-0044</t>
  </si>
  <si>
    <t>2024-07-11</t>
  </si>
  <si>
    <t>94%</t>
  </si>
  <si>
    <t>T05</t>
  </si>
  <si>
    <t>Total Revenue Q3 2023</t>
  </si>
  <si>
    <t>T-0045</t>
  </si>
  <si>
    <t>Priya Nair</t>
  </si>
  <si>
    <t>2024-07-15</t>
  </si>
  <si>
    <t>YoY Growth</t>
  </si>
  <si>
    <t>T09</t>
  </si>
  <si>
    <t>West</t>
  </si>
  <si>
    <t>88%</t>
  </si>
  <si>
    <t>3 late arrivals in Aug</t>
  </si>
  <si>
    <t>T-0046</t>
  </si>
  <si>
    <t>Derek Osei</t>
  </si>
  <si>
    <t>2024-07-19</t>
  </si>
  <si>
    <t>(Everything else is on the other tabs — good luck)</t>
  </si>
  <si>
    <t>91%</t>
  </si>
  <si>
    <t>T-0047</t>
  </si>
  <si>
    <t>2024-07-22</t>
  </si>
  <si>
    <t>Jenna Calloway</t>
  </si>
  <si>
    <t>100%</t>
  </si>
  <si>
    <t>MVP candidate Q3</t>
  </si>
  <si>
    <t>T11</t>
  </si>
  <si>
    <t>Luis Restrepo</t>
  </si>
  <si>
    <t>96%</t>
  </si>
  <si>
    <t>Fatima Al-Amin</t>
  </si>
  <si>
    <t>T-0048</t>
  </si>
  <si>
    <t>2024-07-29</t>
  </si>
  <si>
    <t>98%</t>
  </si>
  <si>
    <t>Avg Rating formula in col E is manually entered this quarter — Sandra was going to automate it.</t>
  </si>
  <si>
    <t>T-0049</t>
  </si>
  <si>
    <t>2024-08-03</t>
  </si>
  <si>
    <t>September 2024</t>
  </si>
  <si>
    <t>T-0050</t>
  </si>
  <si>
    <t>2024-08-07</t>
  </si>
  <si>
    <t>T-0051</t>
  </si>
  <si>
    <t>2024-08-12</t>
  </si>
  <si>
    <t>T-0052</t>
  </si>
  <si>
    <t>2024-08-14</t>
  </si>
  <si>
    <t>TOTAL Q3</t>
  </si>
  <si>
    <t>T-0053</t>
  </si>
  <si>
    <t>2024-08-20</t>
  </si>
  <si>
    <t>T-0054</t>
  </si>
  <si>
    <t>2024-08-27</t>
  </si>
  <si>
    <t>T-0055</t>
  </si>
  <si>
    <t>2024-09-04</t>
  </si>
  <si>
    <t>Note: 2023 figures pulled from 'Q3 2023 Archive' tab. Double-check July — there was a system migration.</t>
  </si>
  <si>
    <t>T-0056</t>
  </si>
  <si>
    <t>2024-09-09</t>
  </si>
  <si>
    <t>T-0057</t>
  </si>
  <si>
    <t>2024-09-13</t>
  </si>
  <si>
    <t>T-0058</t>
  </si>
  <si>
    <t>2024-09-18</t>
  </si>
  <si>
    <t>T-0059</t>
  </si>
  <si>
    <t>2024-09-23</t>
  </si>
  <si>
    <t>T-0060</t>
  </si>
  <si>
    <t>2024-09-28</t>
  </si>
  <si>
    <t>Technician IDs link to 'Technician Performance' tab via Technician ID column.</t>
  </si>
  <si>
    <t>Customer Satisfaction Survey Results — Q3 2024</t>
  </si>
  <si>
    <t>Responses</t>
  </si>
  <si>
    <t>Avg Score (1-5)</t>
  </si>
  <si>
    <t>NPS Score</t>
  </si>
  <si>
    <t>Top Complaint</t>
  </si>
  <si>
    <t>Scheduling window too wide</t>
  </si>
  <si>
    <t>Price higher than quoted</t>
  </si>
  <si>
    <t>Technician arrived late</t>
  </si>
  <si>
    <t>Unit still making noise</t>
  </si>
  <si>
    <t>NPS = Net Promoter Score. Benchmark for our industry: 35.</t>
  </si>
  <si>
    <t>Survey sent to all completed ticket customers. Response rate ~61%.</t>
  </si>
  <si>
    <t>Regional Breakdown — Q3 2024</t>
  </si>
  <si>
    <t>Q3 2024 Revenue ($)</t>
  </si>
  <si>
    <t>Q3 2023 Revenue ($)</t>
  </si>
  <si>
    <t>Q3 2023 Historical Data — DO NOT EDIT</t>
  </si>
  <si>
    <t>Jobs Q3 2024</t>
  </si>
  <si>
    <t>Avg Job Value ($)</t>
  </si>
  <si>
    <t>⚠ This tab is the source for 2023 comparisons. Locked in Sandra's original file. Copied here manually Dec 2023.</t>
  </si>
  <si>
    <t>Revenue ($)</t>
  </si>
  <si>
    <t>Jobs</t>
  </si>
  <si>
    <t>July 2023</t>
  </si>
  <si>
    <t>August 2023</t>
  </si>
  <si>
    <t>September 2023</t>
  </si>
  <si>
    <t>TOTAL</t>
  </si>
  <si>
    <t>OLD DATA — DO NOT USE FOR REPORTING</t>
  </si>
  <si>
    <t>This tab contains Q3 2023 data from the old CRM system before the migration.</t>
  </si>
  <si>
    <t>Revenue figures here are GROSS (pre-refunds) and DO NOT match what finance uses.</t>
  </si>
  <si>
    <t>Use 'Q3 2023 Archive' tab instead.</t>
  </si>
  <si>
    <t>Revenue (GROSS - OLD)</t>
  </si>
  <si>
    <t>Gross revenue is ~8% higher than net. Do not compare with current year data.</t>
  </si>
  <si>
    <t>Operating Expenses — Q3 2024</t>
  </si>
  <si>
    <t>Category</t>
  </si>
  <si>
    <t>July ($)</t>
  </si>
  <si>
    <t>August ($)</t>
  </si>
  <si>
    <t>September ($)</t>
  </si>
  <si>
    <t>Q3 Total ($)</t>
  </si>
  <si>
    <t>Labor (Technicians)</t>
  </si>
  <si>
    <t>FY2024 Targets vs Actuals — All Quarters</t>
  </si>
  <si>
    <t>Parts &amp; Materials</t>
  </si>
  <si>
    <t>⚠ Q4 targets set based on 15% full-year growth vs FY2023. Source: email from Director Chen, Jan 2024.</t>
  </si>
  <si>
    <t>Quarter</t>
  </si>
  <si>
    <t>2023 Actual ($)</t>
  </si>
  <si>
    <t>2024 Target ($)</t>
  </si>
  <si>
    <t>2024 Actual ($)</t>
  </si>
  <si>
    <t>Vehicle Fleet</t>
  </si>
  <si>
    <t>vs 2023</t>
  </si>
  <si>
    <t>Q1 2024</t>
  </si>
  <si>
    <t>Marketing</t>
  </si>
  <si>
    <t>Admin &amp; Overhead</t>
  </si>
  <si>
    <t>Equipment Rental</t>
  </si>
  <si>
    <t>Q2 2024</t>
  </si>
  <si>
    <t>Ottawa Pilot Program — Revenue in CAD</t>
  </si>
  <si>
    <t>Headcount &amp; Capacity — Q3 2024</t>
  </si>
  <si>
    <t>⚠ ALL FIGURES BELOW ARE IN CANADIAN DOLLARS (CAD). Do not add to USD totals.</t>
  </si>
  <si>
    <t>Role</t>
  </si>
  <si>
    <t>Headcount Q3 2024</t>
  </si>
  <si>
    <t>Headcount Q3 2023</t>
  </si>
  <si>
    <t>Revenue (CAD)</t>
  </si>
  <si>
    <t>Change</t>
  </si>
  <si>
    <t>HVAC Technician</t>
  </si>
  <si>
    <t>Q3 2024</t>
  </si>
  <si>
    <t>Subcontracted</t>
  </si>
  <si>
    <t>Plumbing Technician</t>
  </si>
  <si>
    <t>FX rate as of Sept 30 2024: 1 CAD = 0.738 USD</t>
  </si>
  <si>
    <t>Ottawa pilot started Q2 2024. Not yet included in company-wide targets.</t>
  </si>
  <si>
    <t>Q4 2024</t>
  </si>
  <si>
    <t>TBD</t>
  </si>
  <si>
    <t>New hire July 2024</t>
  </si>
  <si>
    <t>—</t>
  </si>
  <si>
    <t>Cleaning Specialist</t>
  </si>
  <si>
    <t>Office Admin</t>
  </si>
  <si>
    <t>HQ</t>
  </si>
  <si>
    <t>Sandra on mat leave — temp cover</t>
  </si>
  <si>
    <t>Operations Manager</t>
  </si>
  <si>
    <t>Capacity note: HVAC fully booked in North through Oct. May explain Q4 risk on HVAC targets.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</si>
</sst>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0.0%"/>
  </numFmts>
  <fonts count="17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0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i/>
      <sz val="10.0"/>
      <color rgb="FFC0392B"/>
      <name val="Arial"/>
    </font>
    <font>
      <b/>
      <sz val="12.0"/>
      <color theme="1"/>
      <name val="Arial"/>
    </font>
    <font>
      <sz val="10.0"/>
      <color rgb="FF008000"/>
      <name val="Arial"/>
    </font>
    <font>
      <i/>
      <sz val="9.0"/>
      <color rgb="FF999999"/>
      <name val="Arial"/>
    </font>
    <font>
      <i/>
      <sz val="9.0"/>
      <color rgb="FFC0392B"/>
      <name val="Arial"/>
    </font>
    <font>
      <i/>
      <sz val="9.0"/>
      <color rgb="FF555555"/>
      <name val="Arial"/>
    </font>
    <font>
      <i/>
      <sz val="10.0"/>
      <color theme="1"/>
      <name val="Arial"/>
    </font>
    <font>
      <i/>
      <sz val="9.0"/>
      <color rgb="FF777777"/>
      <name val="Arial"/>
    </font>
    <font>
      <b/>
      <sz val="10.0"/>
      <color rgb="FFC0392B"/>
      <name val="Arial"/>
    </font>
    <font>
      <i/>
      <sz val="9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C1C1C"/>
        <bgColor rgb="FF1C1C1C"/>
      </patternFill>
    </fill>
    <fill>
      <patternFill patternType="solid">
        <fgColor rgb="FFE8631A"/>
        <bgColor rgb="FFE8631A"/>
      </patternFill>
    </fill>
    <fill>
      <patternFill patternType="solid">
        <fgColor rgb="FFF0F4FF"/>
        <bgColor rgb="FFF0F4FF"/>
      </patternFill>
    </fill>
    <fill>
      <patternFill patternType="solid">
        <fgColor rgb="FFF0FFF0"/>
        <bgColor rgb="FFF0FFF0"/>
      </patternFill>
    </fill>
    <fill>
      <patternFill patternType="solid">
        <fgColor rgb="FFEBF5EB"/>
        <bgColor rgb="FFEBF5EB"/>
      </patternFill>
    </fill>
    <fill>
      <patternFill patternType="solid">
        <fgColor rgb="FFFFF3EC"/>
        <bgColor rgb="FFFFF3EC"/>
      </patternFill>
    </fill>
    <fill>
      <patternFill patternType="solid">
        <fgColor rgb="FFFFF8F0"/>
        <bgColor rgb="FFFFF8F0"/>
      </patternFill>
    </fill>
    <fill>
      <patternFill patternType="solid">
        <fgColor rgb="FFFFFDE7"/>
        <bgColor rgb="FFFFFDE7"/>
      </patternFill>
    </fill>
    <fill>
      <patternFill patternType="solid">
        <fgColor rgb="FFF5F0FF"/>
        <bgColor rgb="FFF5F0FF"/>
      </patternFill>
    </fill>
    <fill>
      <patternFill patternType="solid">
        <fgColor rgb="FFC0392B"/>
        <bgColor rgb="FFC0392B"/>
      </patternFill>
    </fill>
    <fill>
      <patternFill patternType="solid">
        <fgColor rgb="FFCCCCCC"/>
        <bgColor rgb="FFCCCCCC"/>
      </patternFill>
    </fill>
    <fill>
      <patternFill patternType="solid">
        <fgColor rgb="FFFFF0F0"/>
        <bgColor rgb="FFFFF0F0"/>
      </patternFill>
    </fill>
    <fill>
      <patternFill patternType="solid">
        <fgColor rgb="FFEAF4FF"/>
        <bgColor rgb="FFEAF4FF"/>
      </patternFill>
    </fill>
    <fill>
      <patternFill patternType="solid">
        <fgColor rgb="FFFFEEEE"/>
        <bgColor rgb="FFFFEEEE"/>
      </patternFill>
    </fill>
    <fill>
      <patternFill patternType="solid">
        <fgColor rgb="FFF0F8FF"/>
        <bgColor rgb="FFF0F8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4" fillId="4" fontId="6" numFmtId="0" xfId="0" applyAlignment="1" applyBorder="1" applyFill="1" applyFont="1">
      <alignment shrinkToFit="0" vertical="bottom" wrapText="0"/>
    </xf>
    <xf borderId="4" fillId="0" fontId="6" numFmtId="164" xfId="0" applyAlignment="1" applyBorder="1" applyFont="1" applyNumberForma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4" fillId="5" fontId="6" numFmtId="0" xfId="0" applyAlignment="1" applyBorder="1" applyFill="1" applyFont="1">
      <alignment shrinkToFit="0" vertical="bottom" wrapText="0"/>
    </xf>
    <xf borderId="4" fillId="0" fontId="6" numFmtId="165" xfId="0" applyAlignment="1" applyBorder="1" applyFont="1" applyNumberFormat="1">
      <alignment shrinkToFit="0" vertical="bottom" wrapText="0"/>
    </xf>
    <xf borderId="4" fillId="6" fontId="6" numFmtId="0" xfId="0" applyAlignment="1" applyBorder="1" applyFill="1" applyFont="1">
      <alignment shrinkToFit="0" vertical="bottom" wrapText="0"/>
    </xf>
    <xf borderId="0" fillId="0" fontId="9" numFmtId="165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4" fillId="6" fontId="6" numFmtId="164" xfId="0" applyAlignment="1" applyBorder="1" applyFont="1" applyNumberFormat="1">
      <alignment shrinkToFit="0" vertical="bottom" wrapText="0"/>
    </xf>
    <xf borderId="4" fillId="6" fontId="6" numFmtId="165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4" fillId="7" fontId="4" numFmtId="0" xfId="0" applyAlignment="1" applyBorder="1" applyFill="1" applyFont="1">
      <alignment shrinkToFit="0" vertical="bottom" wrapText="0"/>
    </xf>
    <xf borderId="4" fillId="7" fontId="6" numFmtId="0" xfId="0" applyAlignment="1" applyBorder="1" applyFont="1">
      <alignment shrinkToFit="0" vertical="bottom" wrapText="0"/>
    </xf>
    <xf borderId="4" fillId="7" fontId="6" numFmtId="164" xfId="0" applyAlignment="1" applyBorder="1" applyFont="1" applyNumberFormat="1">
      <alignment shrinkToFit="0" vertical="bottom" wrapText="0"/>
    </xf>
    <xf borderId="4" fillId="7" fontId="6" numFmtId="165" xfId="0" applyAlignment="1" applyBorder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4" fillId="8" fontId="6" numFmtId="0" xfId="0" applyAlignment="1" applyBorder="1" applyFill="1" applyFont="1">
      <alignment shrinkToFit="0" vertical="bottom" wrapText="0"/>
    </xf>
    <xf borderId="4" fillId="9" fontId="6" numFmtId="0" xfId="0" applyAlignment="1" applyBorder="1" applyFill="1" applyFont="1">
      <alignment shrinkToFit="0" vertical="bottom" wrapText="0"/>
    </xf>
    <xf borderId="4" fillId="10" fontId="6" numFmtId="0" xfId="0" applyAlignment="1" applyBorder="1" applyFill="1" applyFont="1">
      <alignment shrinkToFit="0" vertical="bottom" wrapText="0"/>
    </xf>
    <xf borderId="4" fillId="10" fontId="6" numFmtId="164" xfId="0" applyAlignment="1" applyBorder="1" applyFont="1" applyNumberFormat="1">
      <alignment shrinkToFit="0" vertical="bottom" wrapText="0"/>
    </xf>
    <xf borderId="4" fillId="10" fontId="6" numFmtId="165" xfId="0" applyAlignment="1" applyBorder="1" applyFont="1" applyNumberFormat="1">
      <alignment shrinkToFit="0" vertical="bottom" wrapText="0"/>
    </xf>
    <xf borderId="5" fillId="11" fontId="1" numFmtId="0" xfId="0" applyAlignment="1" applyBorder="1" applyFill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4" fillId="12" fontId="3" numFmtId="0" xfId="0" applyAlignment="1" applyBorder="1" applyFill="1" applyFont="1">
      <alignment horizontal="center" shrinkToFit="0" vertical="center" wrapText="0"/>
    </xf>
    <xf borderId="0" fillId="0" fontId="14" numFmtId="0" xfId="0" applyAlignment="1" applyFont="1">
      <alignment shrinkToFit="0" vertical="bottom" wrapText="0"/>
    </xf>
    <xf borderId="4" fillId="13" fontId="6" numFmtId="0" xfId="0" applyAlignment="1" applyBorder="1" applyFill="1" applyFont="1">
      <alignment shrinkToFit="0" vertical="bottom" wrapText="0"/>
    </xf>
    <xf borderId="4" fillId="13" fontId="6" numFmtId="164" xfId="0" applyAlignment="1" applyBorder="1" applyFont="1" applyNumberFormat="1">
      <alignment shrinkToFit="0" vertical="bottom" wrapText="0"/>
    </xf>
    <xf borderId="4" fillId="14" fontId="6" numFmtId="0" xfId="0" applyAlignment="1" applyBorder="1" applyFill="1" applyFont="1">
      <alignment shrinkToFit="0" vertical="bottom" wrapText="0"/>
    </xf>
    <xf borderId="4" fillId="14" fontId="6" numFmtId="164" xfId="0" applyAlignment="1" applyBorder="1" applyFont="1" applyNumberFormat="1">
      <alignment shrinkToFit="0" vertical="bottom" wrapText="0"/>
    </xf>
    <xf borderId="4" fillId="14" fontId="6" numFmtId="165" xfId="0" applyAlignment="1" applyBorder="1" applyFont="1" applyNumberFormat="1">
      <alignment shrinkToFit="0" vertical="bottom" wrapText="0"/>
    </xf>
    <xf borderId="5" fillId="15" fontId="15" numFmtId="0" xfId="0" applyAlignment="1" applyBorder="1" applyFill="1" applyFont="1">
      <alignment shrinkToFit="0" vertical="bottom" wrapText="0"/>
    </xf>
    <xf borderId="4" fillId="16" fontId="6" numFmtId="0" xfId="0" applyAlignment="1" applyBorder="1" applyFill="1" applyFont="1">
      <alignment shrinkToFit="0" vertical="bottom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6" width="15.0"/>
    <col customWidth="1" min="7" max="26" width="8.71"/>
  </cols>
  <sheetData>
    <row r="1" ht="30.0" customHeight="1">
      <c r="A1" s="1" t="s">
        <v>1</v>
      </c>
      <c r="B1" s="2"/>
      <c r="C1" s="2"/>
      <c r="D1" s="2"/>
      <c r="E1" s="2"/>
      <c r="F1" s="3"/>
    </row>
    <row r="3">
      <c r="A3" s="5" t="s">
        <v>5</v>
      </c>
      <c r="B3" s="6" t="s">
        <v>14</v>
      </c>
    </row>
    <row r="4">
      <c r="A4" s="5" t="s">
        <v>16</v>
      </c>
      <c r="B4" s="6" t="s">
        <v>17</v>
      </c>
    </row>
    <row r="6">
      <c r="A6" s="8" t="s">
        <v>19</v>
      </c>
    </row>
    <row r="8">
      <c r="A8" s="9" t="s">
        <v>23</v>
      </c>
    </row>
    <row r="9">
      <c r="A9" s="10" t="s">
        <v>24</v>
      </c>
      <c r="B9" s="13">
        <f>SUM('Monthly Revenue'!C2:C4)</f>
        <v>79600</v>
      </c>
    </row>
    <row r="10">
      <c r="A10" s="10" t="s">
        <v>51</v>
      </c>
      <c r="B10" s="13">
        <f>SUM('Monthly Revenue'!D2:D4)</f>
        <v>69000</v>
      </c>
    </row>
    <row r="11">
      <c r="A11" s="10" t="s">
        <v>55</v>
      </c>
      <c r="B11" s="17">
        <f>(B9-B10)/B10</f>
        <v>0.1536231884</v>
      </c>
    </row>
    <row r="13">
      <c r="A13" s="18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5" width="20.0"/>
    <col customWidth="1" min="6" max="6" width="14.0"/>
    <col customWidth="1" min="7" max="26" width="8.71"/>
  </cols>
  <sheetData>
    <row r="1" ht="30.0" customHeight="1">
      <c r="A1" s="1" t="s">
        <v>2</v>
      </c>
      <c r="B1" s="2"/>
      <c r="C1" s="2"/>
      <c r="D1" s="2"/>
      <c r="E1" s="2"/>
      <c r="F1" s="3"/>
    </row>
    <row r="2">
      <c r="A2" s="4" t="s">
        <v>10</v>
      </c>
      <c r="B2" s="4" t="s">
        <v>7</v>
      </c>
      <c r="C2" s="4" t="s">
        <v>26</v>
      </c>
      <c r="D2" s="4" t="s">
        <v>28</v>
      </c>
      <c r="E2" s="4" t="s">
        <v>29</v>
      </c>
      <c r="F2" s="4" t="s">
        <v>32</v>
      </c>
    </row>
    <row r="3">
      <c r="A3" s="7" t="s">
        <v>36</v>
      </c>
      <c r="B3" s="7" t="s">
        <v>20</v>
      </c>
      <c r="C3" s="12">
        <v>48200.0</v>
      </c>
      <c r="D3" s="12">
        <v>41000.0</v>
      </c>
      <c r="E3" s="12">
        <v>47000.0</v>
      </c>
      <c r="F3" s="15">
        <f t="shared" ref="F3:F12" si="1">(C3-E3)/E3</f>
        <v>0.02553191489</v>
      </c>
    </row>
    <row r="4">
      <c r="A4" s="16" t="s">
        <v>36</v>
      </c>
      <c r="B4" s="16" t="s">
        <v>31</v>
      </c>
      <c r="C4" s="19">
        <v>31400.0</v>
      </c>
      <c r="D4" s="19">
        <v>28000.0</v>
      </c>
      <c r="E4" s="19">
        <v>30000.0</v>
      </c>
      <c r="F4" s="20">
        <f t="shared" si="1"/>
        <v>0.04666666667</v>
      </c>
    </row>
    <row r="5">
      <c r="A5" s="7" t="s">
        <v>36</v>
      </c>
      <c r="B5" s="7" t="s">
        <v>42</v>
      </c>
      <c r="C5" s="12">
        <v>19800.0</v>
      </c>
      <c r="D5" s="12">
        <v>18500.0</v>
      </c>
      <c r="E5" s="12">
        <v>20000.0</v>
      </c>
      <c r="F5" s="15">
        <f t="shared" si="1"/>
        <v>-0.01</v>
      </c>
    </row>
    <row r="6">
      <c r="A6" s="16" t="s">
        <v>14</v>
      </c>
      <c r="B6" s="16" t="s">
        <v>20</v>
      </c>
      <c r="C6" s="19">
        <v>52100.0</v>
      </c>
      <c r="D6" s="19">
        <v>43500.0</v>
      </c>
      <c r="E6" s="19">
        <v>50000.0</v>
      </c>
      <c r="F6" s="20">
        <f t="shared" si="1"/>
        <v>0.042</v>
      </c>
    </row>
    <row r="7">
      <c r="A7" s="7" t="s">
        <v>14</v>
      </c>
      <c r="B7" s="7" t="s">
        <v>31</v>
      </c>
      <c r="C7" s="12">
        <v>29700.0</v>
      </c>
      <c r="D7" s="12">
        <v>27000.0</v>
      </c>
      <c r="E7" s="12">
        <v>31000.0</v>
      </c>
      <c r="F7" s="15">
        <f t="shared" si="1"/>
        <v>-0.04193548387</v>
      </c>
    </row>
    <row r="8">
      <c r="A8" s="16" t="s">
        <v>14</v>
      </c>
      <c r="B8" s="16" t="s">
        <v>42</v>
      </c>
      <c r="C8" s="19">
        <v>21300.0</v>
      </c>
      <c r="D8" s="19">
        <v>19200.0</v>
      </c>
      <c r="E8" s="19">
        <v>21000.0</v>
      </c>
      <c r="F8" s="20">
        <f t="shared" si="1"/>
        <v>0.01428571429</v>
      </c>
    </row>
    <row r="9">
      <c r="A9" s="7" t="s">
        <v>80</v>
      </c>
      <c r="B9" s="7" t="s">
        <v>20</v>
      </c>
      <c r="C9" s="12">
        <v>44800.0</v>
      </c>
      <c r="D9" s="12">
        <v>40000.0</v>
      </c>
      <c r="E9" s="12">
        <v>48000.0</v>
      </c>
      <c r="F9" s="15">
        <f t="shared" si="1"/>
        <v>-0.06666666667</v>
      </c>
    </row>
    <row r="10">
      <c r="A10" s="16" t="s">
        <v>80</v>
      </c>
      <c r="B10" s="16" t="s">
        <v>31</v>
      </c>
      <c r="C10" s="19">
        <v>30100.0</v>
      </c>
      <c r="D10" s="19">
        <v>26500.0</v>
      </c>
      <c r="E10" s="19">
        <v>30000.0</v>
      </c>
      <c r="F10" s="20">
        <f t="shared" si="1"/>
        <v>0.003333333333</v>
      </c>
    </row>
    <row r="11">
      <c r="A11" s="7" t="s">
        <v>80</v>
      </c>
      <c r="B11" s="7" t="s">
        <v>42</v>
      </c>
      <c r="C11" s="12">
        <v>18900.0</v>
      </c>
      <c r="D11" s="12">
        <v>17800.0</v>
      </c>
      <c r="E11" s="12">
        <v>20000.0</v>
      </c>
      <c r="F11" s="15">
        <f t="shared" si="1"/>
        <v>-0.055</v>
      </c>
    </row>
    <row r="12">
      <c r="A12" s="22" t="s">
        <v>87</v>
      </c>
      <c r="B12" s="23"/>
      <c r="C12" s="24">
        <f t="shared" ref="C12:E12" si="2">SUM(C3:C11)</f>
        <v>296300</v>
      </c>
      <c r="D12" s="24">
        <f t="shared" si="2"/>
        <v>261500</v>
      </c>
      <c r="E12" s="24">
        <f t="shared" si="2"/>
        <v>297000</v>
      </c>
      <c r="F12" s="25">
        <f t="shared" si="1"/>
        <v>-0.002356902357</v>
      </c>
    </row>
    <row r="14">
      <c r="A14" s="21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4.0"/>
    <col customWidth="1" min="4" max="4" width="16.0"/>
    <col customWidth="1" min="5" max="5" width="10.0"/>
    <col customWidth="1" min="6" max="6" width="20.0"/>
    <col customWidth="1" min="7" max="7" width="22.0"/>
    <col customWidth="1" min="8" max="8" width="12.0"/>
    <col customWidth="1" min="9" max="26" width="8.71"/>
  </cols>
  <sheetData>
    <row r="1" ht="30.0" customHeight="1">
      <c r="A1" s="1" t="s">
        <v>3</v>
      </c>
      <c r="B1" s="2"/>
      <c r="C1" s="2"/>
      <c r="D1" s="2"/>
      <c r="E1" s="2"/>
      <c r="F1" s="2"/>
      <c r="G1" s="2"/>
      <c r="H1" s="3"/>
    </row>
    <row r="2">
      <c r="A2" s="4" t="s">
        <v>4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11</v>
      </c>
      <c r="G2" s="4" t="s">
        <v>12</v>
      </c>
      <c r="H2" s="4" t="s">
        <v>13</v>
      </c>
    </row>
    <row r="3">
      <c r="A3" s="7" t="s">
        <v>15</v>
      </c>
      <c r="B3" s="7" t="s">
        <v>18</v>
      </c>
      <c r="C3" s="7" t="s">
        <v>20</v>
      </c>
      <c r="D3" s="7" t="s">
        <v>21</v>
      </c>
      <c r="E3" s="7" t="s">
        <v>22</v>
      </c>
      <c r="F3" s="7">
        <v>2.5</v>
      </c>
      <c r="G3" s="7">
        <v>5.0</v>
      </c>
      <c r="H3" s="7" t="s">
        <v>25</v>
      </c>
    </row>
    <row r="4">
      <c r="A4" s="11" t="s">
        <v>27</v>
      </c>
      <c r="B4" s="11" t="s">
        <v>30</v>
      </c>
      <c r="C4" s="11" t="s">
        <v>31</v>
      </c>
      <c r="D4" s="11" t="s">
        <v>33</v>
      </c>
      <c r="E4" s="11" t="s">
        <v>35</v>
      </c>
      <c r="F4" s="11">
        <v>1.5</v>
      </c>
      <c r="G4" s="11">
        <v>4.0</v>
      </c>
      <c r="H4" s="11" t="s">
        <v>25</v>
      </c>
    </row>
    <row r="5">
      <c r="A5" s="7" t="s">
        <v>39</v>
      </c>
      <c r="B5" s="7" t="s">
        <v>41</v>
      </c>
      <c r="C5" s="7" t="s">
        <v>42</v>
      </c>
      <c r="D5" s="7" t="s">
        <v>44</v>
      </c>
      <c r="E5" s="7" t="s">
        <v>45</v>
      </c>
      <c r="F5" s="7">
        <v>3.0</v>
      </c>
      <c r="G5" s="7">
        <v>5.0</v>
      </c>
      <c r="H5" s="7" t="s">
        <v>25</v>
      </c>
    </row>
    <row r="6">
      <c r="A6" s="11" t="s">
        <v>47</v>
      </c>
      <c r="B6" s="11" t="s">
        <v>48</v>
      </c>
      <c r="C6" s="11" t="s">
        <v>20</v>
      </c>
      <c r="D6" s="11" t="s">
        <v>21</v>
      </c>
      <c r="E6" s="11" t="s">
        <v>22</v>
      </c>
      <c r="F6" s="11">
        <v>4.0</v>
      </c>
      <c r="G6" s="11">
        <v>3.0</v>
      </c>
      <c r="H6" s="11" t="s">
        <v>25</v>
      </c>
    </row>
    <row r="7">
      <c r="A7" s="7" t="s">
        <v>52</v>
      </c>
      <c r="B7" s="7" t="s">
        <v>54</v>
      </c>
      <c r="C7" s="7" t="s">
        <v>31</v>
      </c>
      <c r="D7" s="7" t="s">
        <v>56</v>
      </c>
      <c r="E7" s="7" t="s">
        <v>57</v>
      </c>
      <c r="F7" s="7">
        <v>2.0</v>
      </c>
      <c r="G7" s="7">
        <v>5.0</v>
      </c>
      <c r="H7" s="7" t="s">
        <v>25</v>
      </c>
    </row>
    <row r="8">
      <c r="A8" s="11" t="s">
        <v>60</v>
      </c>
      <c r="B8" s="11" t="s">
        <v>62</v>
      </c>
      <c r="C8" s="11" t="s">
        <v>42</v>
      </c>
      <c r="D8" s="11" t="s">
        <v>44</v>
      </c>
      <c r="E8" s="11" t="s">
        <v>45</v>
      </c>
      <c r="F8" s="11">
        <v>2.5</v>
      </c>
      <c r="G8" s="11">
        <v>4.0</v>
      </c>
      <c r="H8" s="11" t="s">
        <v>25</v>
      </c>
    </row>
    <row r="9">
      <c r="A9" s="7" t="s">
        <v>65</v>
      </c>
      <c r="B9" s="7" t="s">
        <v>66</v>
      </c>
      <c r="C9" s="7" t="s">
        <v>20</v>
      </c>
      <c r="D9" s="7" t="s">
        <v>50</v>
      </c>
      <c r="E9" s="7" t="s">
        <v>35</v>
      </c>
      <c r="F9" s="7">
        <v>3.5</v>
      </c>
      <c r="G9" s="7">
        <v>4.0</v>
      </c>
      <c r="H9" s="7" t="s">
        <v>25</v>
      </c>
    </row>
    <row r="10">
      <c r="A10" s="11" t="s">
        <v>74</v>
      </c>
      <c r="B10" s="11" t="s">
        <v>75</v>
      </c>
      <c r="C10" s="11" t="s">
        <v>31</v>
      </c>
      <c r="D10" s="11" t="s">
        <v>33</v>
      </c>
      <c r="E10" s="11" t="s">
        <v>35</v>
      </c>
      <c r="F10" s="11">
        <v>1.0</v>
      </c>
      <c r="G10" s="11">
        <v>2.0</v>
      </c>
      <c r="H10" s="11" t="s">
        <v>25</v>
      </c>
    </row>
    <row r="11">
      <c r="A11" s="7" t="s">
        <v>78</v>
      </c>
      <c r="B11" s="7" t="s">
        <v>79</v>
      </c>
      <c r="C11" s="7" t="s">
        <v>20</v>
      </c>
      <c r="D11" s="7" t="s">
        <v>21</v>
      </c>
      <c r="E11" s="7" t="s">
        <v>22</v>
      </c>
      <c r="F11" s="7">
        <v>2.0</v>
      </c>
      <c r="G11" s="7">
        <v>5.0</v>
      </c>
      <c r="H11" s="7" t="s">
        <v>25</v>
      </c>
    </row>
    <row r="12">
      <c r="A12" s="11" t="s">
        <v>81</v>
      </c>
      <c r="B12" s="11" t="s">
        <v>82</v>
      </c>
      <c r="C12" s="11" t="s">
        <v>42</v>
      </c>
      <c r="D12" s="11" t="s">
        <v>70</v>
      </c>
      <c r="E12" s="11" t="s">
        <v>57</v>
      </c>
      <c r="F12" s="11">
        <v>3.5</v>
      </c>
      <c r="G12" s="11">
        <v>4.0</v>
      </c>
      <c r="H12" s="11" t="s">
        <v>25</v>
      </c>
    </row>
    <row r="13">
      <c r="A13" s="7" t="s">
        <v>83</v>
      </c>
      <c r="B13" s="7" t="s">
        <v>84</v>
      </c>
      <c r="C13" s="7" t="s">
        <v>31</v>
      </c>
      <c r="D13" s="7" t="s">
        <v>56</v>
      </c>
      <c r="E13" s="7" t="s">
        <v>57</v>
      </c>
      <c r="F13" s="7">
        <v>2.5</v>
      </c>
      <c r="G13" s="7">
        <v>5.0</v>
      </c>
      <c r="H13" s="7" t="s">
        <v>25</v>
      </c>
    </row>
    <row r="14">
      <c r="A14" s="11" t="s">
        <v>85</v>
      </c>
      <c r="B14" s="11" t="s">
        <v>86</v>
      </c>
      <c r="C14" s="11" t="s">
        <v>20</v>
      </c>
      <c r="D14" s="11" t="s">
        <v>50</v>
      </c>
      <c r="E14" s="11" t="s">
        <v>35</v>
      </c>
      <c r="F14" s="11">
        <v>1.5</v>
      </c>
      <c r="G14" s="11">
        <v>3.0</v>
      </c>
      <c r="H14" s="11" t="s">
        <v>25</v>
      </c>
    </row>
    <row r="15">
      <c r="A15" s="7" t="s">
        <v>88</v>
      </c>
      <c r="B15" s="7" t="s">
        <v>89</v>
      </c>
      <c r="C15" s="7" t="s">
        <v>42</v>
      </c>
      <c r="D15" s="7" t="s">
        <v>44</v>
      </c>
      <c r="E15" s="7" t="s">
        <v>45</v>
      </c>
      <c r="F15" s="7">
        <v>4.0</v>
      </c>
      <c r="G15" s="7">
        <v>5.0</v>
      </c>
      <c r="H15" s="7" t="s">
        <v>25</v>
      </c>
    </row>
    <row r="16">
      <c r="A16" s="11" t="s">
        <v>90</v>
      </c>
      <c r="B16" s="11" t="s">
        <v>91</v>
      </c>
      <c r="C16" s="11" t="s">
        <v>20</v>
      </c>
      <c r="D16" s="11" t="s">
        <v>21</v>
      </c>
      <c r="E16" s="11" t="s">
        <v>22</v>
      </c>
      <c r="F16" s="11">
        <v>3.0</v>
      </c>
      <c r="G16" s="11">
        <v>4.0</v>
      </c>
      <c r="H16" s="11" t="s">
        <v>25</v>
      </c>
    </row>
    <row r="17">
      <c r="A17" s="7" t="s">
        <v>92</v>
      </c>
      <c r="B17" s="7" t="s">
        <v>93</v>
      </c>
      <c r="C17" s="7" t="s">
        <v>31</v>
      </c>
      <c r="D17" s="7" t="s">
        <v>33</v>
      </c>
      <c r="E17" s="7" t="s">
        <v>35</v>
      </c>
      <c r="F17" s="7">
        <v>2.0</v>
      </c>
      <c r="G17" s="7">
        <v>4.0</v>
      </c>
      <c r="H17" s="7" t="s">
        <v>25</v>
      </c>
    </row>
    <row r="18">
      <c r="A18" s="11" t="s">
        <v>95</v>
      </c>
      <c r="B18" s="11" t="s">
        <v>96</v>
      </c>
      <c r="C18" s="11" t="s">
        <v>42</v>
      </c>
      <c r="D18" s="11" t="s">
        <v>70</v>
      </c>
      <c r="E18" s="11" t="s">
        <v>57</v>
      </c>
      <c r="F18" s="11">
        <v>2.5</v>
      </c>
      <c r="G18" s="11">
        <v>5.0</v>
      </c>
      <c r="H18" s="11" t="s">
        <v>25</v>
      </c>
    </row>
    <row r="19">
      <c r="A19" s="7" t="s">
        <v>97</v>
      </c>
      <c r="B19" s="7" t="s">
        <v>98</v>
      </c>
      <c r="C19" s="7" t="s">
        <v>20</v>
      </c>
      <c r="D19" s="7" t="s">
        <v>50</v>
      </c>
      <c r="E19" s="7" t="s">
        <v>35</v>
      </c>
      <c r="F19" s="7">
        <v>3.0</v>
      </c>
      <c r="G19" s="7">
        <v>3.0</v>
      </c>
      <c r="H19" s="7" t="s">
        <v>25</v>
      </c>
    </row>
    <row r="20">
      <c r="A20" s="11" t="s">
        <v>99</v>
      </c>
      <c r="B20" s="11" t="s">
        <v>100</v>
      </c>
      <c r="C20" s="11" t="s">
        <v>31</v>
      </c>
      <c r="D20" s="11" t="s">
        <v>56</v>
      </c>
      <c r="E20" s="11" t="s">
        <v>57</v>
      </c>
      <c r="F20" s="11">
        <v>1.5</v>
      </c>
      <c r="G20" s="11">
        <v>5.0</v>
      </c>
      <c r="H20" s="11" t="s">
        <v>25</v>
      </c>
    </row>
    <row r="21" ht="15.75" customHeight="1">
      <c r="A21" s="7" t="s">
        <v>101</v>
      </c>
      <c r="B21" s="7" t="s">
        <v>102</v>
      </c>
      <c r="C21" s="7" t="s">
        <v>20</v>
      </c>
      <c r="D21" s="7" t="s">
        <v>21</v>
      </c>
      <c r="E21" s="7" t="s">
        <v>22</v>
      </c>
      <c r="F21" s="7">
        <v>2.5</v>
      </c>
      <c r="G21" s="7">
        <v>4.0</v>
      </c>
      <c r="H21" s="7" t="s">
        <v>25</v>
      </c>
    </row>
    <row r="22" ht="15.75" customHeight="1">
      <c r="A22" s="11" t="s">
        <v>103</v>
      </c>
      <c r="B22" s="11" t="s">
        <v>104</v>
      </c>
      <c r="C22" s="11" t="s">
        <v>42</v>
      </c>
      <c r="D22" s="11" t="s">
        <v>44</v>
      </c>
      <c r="E22" s="11" t="s">
        <v>45</v>
      </c>
      <c r="F22" s="11">
        <v>3.5</v>
      </c>
      <c r="G22" s="11">
        <v>5.0</v>
      </c>
      <c r="H22" s="11" t="s">
        <v>25</v>
      </c>
    </row>
    <row r="23" ht="15.75" customHeight="1"/>
    <row r="24" ht="15.75" customHeight="1">
      <c r="A24" s="26" t="s">
        <v>105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8.0"/>
    <col customWidth="1" min="3" max="3" width="12.0"/>
    <col customWidth="1" min="4" max="4" width="16.0"/>
    <col customWidth="1" min="5" max="6" width="12.0"/>
    <col customWidth="1" min="7" max="7" width="30.0"/>
    <col customWidth="1" min="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>
      <c r="A2" s="4" t="s">
        <v>8</v>
      </c>
      <c r="B2" s="4" t="s">
        <v>34</v>
      </c>
      <c r="C2" s="4" t="s">
        <v>9</v>
      </c>
      <c r="D2" s="4" t="s">
        <v>37</v>
      </c>
      <c r="E2" s="4" t="s">
        <v>38</v>
      </c>
      <c r="F2" s="4" t="s">
        <v>40</v>
      </c>
      <c r="G2" s="4" t="s">
        <v>43</v>
      </c>
    </row>
    <row r="3">
      <c r="A3" s="7" t="s">
        <v>21</v>
      </c>
      <c r="B3" s="7" t="s">
        <v>46</v>
      </c>
      <c r="C3" s="7" t="s">
        <v>22</v>
      </c>
      <c r="D3" s="7">
        <v>5.0</v>
      </c>
      <c r="E3" s="7">
        <v>4.2</v>
      </c>
      <c r="F3" s="7" t="s">
        <v>49</v>
      </c>
      <c r="G3" s="7"/>
    </row>
    <row r="4">
      <c r="A4" s="14" t="s">
        <v>50</v>
      </c>
      <c r="B4" s="14" t="s">
        <v>53</v>
      </c>
      <c r="C4" s="14" t="s">
        <v>35</v>
      </c>
      <c r="D4" s="14">
        <v>4.0</v>
      </c>
      <c r="E4" s="14">
        <v>3.3</v>
      </c>
      <c r="F4" s="14" t="s">
        <v>58</v>
      </c>
      <c r="G4" s="14" t="s">
        <v>59</v>
      </c>
    </row>
    <row r="5">
      <c r="A5" s="7" t="s">
        <v>33</v>
      </c>
      <c r="B5" s="7" t="s">
        <v>61</v>
      </c>
      <c r="C5" s="7" t="s">
        <v>35</v>
      </c>
      <c r="D5" s="7">
        <v>3.0</v>
      </c>
      <c r="E5" s="7">
        <v>3.3</v>
      </c>
      <c r="F5" s="7" t="s">
        <v>64</v>
      </c>
      <c r="G5" s="7"/>
    </row>
    <row r="6">
      <c r="A6" s="14" t="s">
        <v>56</v>
      </c>
      <c r="B6" s="14" t="s">
        <v>67</v>
      </c>
      <c r="C6" s="14" t="s">
        <v>57</v>
      </c>
      <c r="D6" s="14">
        <v>3.0</v>
      </c>
      <c r="E6" s="14">
        <v>5.0</v>
      </c>
      <c r="F6" s="14" t="s">
        <v>68</v>
      </c>
      <c r="G6" s="14" t="s">
        <v>69</v>
      </c>
    </row>
    <row r="7">
      <c r="A7" s="7" t="s">
        <v>70</v>
      </c>
      <c r="B7" s="7" t="s">
        <v>71</v>
      </c>
      <c r="C7" s="7" t="s">
        <v>57</v>
      </c>
      <c r="D7" s="7">
        <v>2.0</v>
      </c>
      <c r="E7" s="7">
        <v>4.5</v>
      </c>
      <c r="F7" s="7" t="s">
        <v>72</v>
      </c>
      <c r="G7" s="7"/>
    </row>
    <row r="8">
      <c r="A8" s="14" t="s">
        <v>44</v>
      </c>
      <c r="B8" s="14" t="s">
        <v>73</v>
      </c>
      <c r="C8" s="14" t="s">
        <v>45</v>
      </c>
      <c r="D8" s="14">
        <v>4.0</v>
      </c>
      <c r="E8" s="14">
        <v>4.8</v>
      </c>
      <c r="F8" s="14" t="s">
        <v>76</v>
      </c>
      <c r="G8" s="14"/>
    </row>
    <row r="10">
      <c r="A10" s="21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14.0"/>
    <col customWidth="1" min="4" max="4" width="20.0"/>
    <col customWidth="1" min="5" max="5" width="14.0"/>
    <col customWidth="1" min="6" max="6" width="30.0"/>
    <col customWidth="1" min="7" max="26" width="8.71"/>
  </cols>
  <sheetData>
    <row r="1" ht="30.0" customHeight="1">
      <c r="A1" s="1" t="s">
        <v>106</v>
      </c>
      <c r="B1" s="2"/>
      <c r="C1" s="2"/>
      <c r="D1" s="2"/>
      <c r="E1" s="2"/>
      <c r="F1" s="3"/>
    </row>
    <row r="2">
      <c r="A2" s="4" t="s">
        <v>10</v>
      </c>
      <c r="B2" s="4" t="s">
        <v>7</v>
      </c>
      <c r="C2" s="4" t="s">
        <v>107</v>
      </c>
      <c r="D2" s="4" t="s">
        <v>108</v>
      </c>
      <c r="E2" s="4" t="s">
        <v>109</v>
      </c>
      <c r="F2" s="4" t="s">
        <v>110</v>
      </c>
    </row>
    <row r="3">
      <c r="A3" s="7" t="s">
        <v>36</v>
      </c>
      <c r="B3" s="7" t="s">
        <v>20</v>
      </c>
      <c r="C3" s="7">
        <v>42.0</v>
      </c>
      <c r="D3" s="7">
        <v>4.1</v>
      </c>
      <c r="E3" s="7">
        <v>38.0</v>
      </c>
      <c r="F3" s="7" t="s">
        <v>111</v>
      </c>
    </row>
    <row r="4">
      <c r="A4" s="27" t="s">
        <v>36</v>
      </c>
      <c r="B4" s="27" t="s">
        <v>31</v>
      </c>
      <c r="C4" s="27">
        <v>29.0</v>
      </c>
      <c r="D4" s="27">
        <v>3.8</v>
      </c>
      <c r="E4" s="27">
        <v>31.0</v>
      </c>
      <c r="F4" s="27" t="s">
        <v>112</v>
      </c>
    </row>
    <row r="5">
      <c r="A5" s="7" t="s">
        <v>36</v>
      </c>
      <c r="B5" s="7" t="s">
        <v>42</v>
      </c>
      <c r="C5" s="7">
        <v>18.0</v>
      </c>
      <c r="D5" s="7">
        <v>4.6</v>
      </c>
      <c r="E5" s="7">
        <v>52.0</v>
      </c>
      <c r="F5" s="7"/>
    </row>
    <row r="6">
      <c r="A6" s="27" t="s">
        <v>14</v>
      </c>
      <c r="B6" s="27" t="s">
        <v>20</v>
      </c>
      <c r="C6" s="27">
        <v>51.0</v>
      </c>
      <c r="D6" s="27">
        <v>4.3</v>
      </c>
      <c r="E6" s="27">
        <v>44.0</v>
      </c>
      <c r="F6" s="27"/>
    </row>
    <row r="7">
      <c r="A7" s="7" t="s">
        <v>14</v>
      </c>
      <c r="B7" s="7" t="s">
        <v>31</v>
      </c>
      <c r="C7" s="7">
        <v>33.0</v>
      </c>
      <c r="D7" s="7">
        <v>3.6</v>
      </c>
      <c r="E7" s="7">
        <v>28.0</v>
      </c>
      <c r="F7" s="7" t="s">
        <v>113</v>
      </c>
    </row>
    <row r="8">
      <c r="A8" s="27" t="s">
        <v>14</v>
      </c>
      <c r="B8" s="27" t="s">
        <v>42</v>
      </c>
      <c r="C8" s="27">
        <v>22.0</v>
      </c>
      <c r="D8" s="27">
        <v>4.7</v>
      </c>
      <c r="E8" s="27">
        <v>58.0</v>
      </c>
      <c r="F8" s="27"/>
    </row>
    <row r="9">
      <c r="A9" s="7" t="s">
        <v>80</v>
      </c>
      <c r="B9" s="7" t="s">
        <v>20</v>
      </c>
      <c r="C9" s="7">
        <v>39.0</v>
      </c>
      <c r="D9" s="7">
        <v>4.0</v>
      </c>
      <c r="E9" s="7">
        <v>36.0</v>
      </c>
      <c r="F9" s="7" t="s">
        <v>114</v>
      </c>
    </row>
    <row r="10">
      <c r="A10" s="27" t="s">
        <v>80</v>
      </c>
      <c r="B10" s="27" t="s">
        <v>31</v>
      </c>
      <c r="C10" s="27">
        <v>27.0</v>
      </c>
      <c r="D10" s="27">
        <v>4.1</v>
      </c>
      <c r="E10" s="27">
        <v>41.0</v>
      </c>
      <c r="F10" s="27"/>
    </row>
    <row r="11">
      <c r="A11" s="7" t="s">
        <v>80</v>
      </c>
      <c r="B11" s="7" t="s">
        <v>42</v>
      </c>
      <c r="C11" s="7">
        <v>20.0</v>
      </c>
      <c r="D11" s="7">
        <v>4.8</v>
      </c>
      <c r="E11" s="7">
        <v>61.0</v>
      </c>
      <c r="F11" s="7"/>
    </row>
    <row r="13">
      <c r="A13" s="26" t="s">
        <v>115</v>
      </c>
    </row>
    <row r="14">
      <c r="A14" s="26" t="s">
        <v>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22.0"/>
    <col customWidth="1" min="4" max="4" width="14.0"/>
    <col customWidth="1" min="5" max="5" width="16.0"/>
    <col customWidth="1" min="6" max="6" width="18.0"/>
    <col customWidth="1" min="7" max="26" width="8.71"/>
  </cols>
  <sheetData>
    <row r="1" ht="30.0" customHeight="1">
      <c r="A1" s="1" t="s">
        <v>117</v>
      </c>
      <c r="B1" s="2"/>
      <c r="C1" s="2"/>
      <c r="D1" s="2"/>
      <c r="E1" s="2"/>
      <c r="F1" s="3"/>
    </row>
    <row r="2">
      <c r="A2" s="4" t="s">
        <v>9</v>
      </c>
      <c r="B2" s="4" t="s">
        <v>118</v>
      </c>
      <c r="C2" s="4" t="s">
        <v>119</v>
      </c>
      <c r="D2" s="4" t="s">
        <v>55</v>
      </c>
      <c r="E2" s="4" t="s">
        <v>121</v>
      </c>
      <c r="F2" s="4" t="s">
        <v>122</v>
      </c>
    </row>
    <row r="3">
      <c r="A3" s="7" t="s">
        <v>22</v>
      </c>
      <c r="B3" s="12">
        <v>98200.0</v>
      </c>
      <c r="C3" s="12">
        <v>87000.0</v>
      </c>
      <c r="D3" s="15">
        <f t="shared" ref="D3:D7" si="1">(B3-C3)/C3</f>
        <v>0.1287356322</v>
      </c>
      <c r="E3" s="7">
        <v>7.0</v>
      </c>
      <c r="F3" s="12">
        <f t="shared" ref="F3:F7" si="2">B3/E3</f>
        <v>14028.57143</v>
      </c>
    </row>
    <row r="4">
      <c r="A4" s="29" t="s">
        <v>35</v>
      </c>
      <c r="B4" s="30">
        <v>81400.0</v>
      </c>
      <c r="C4" s="30">
        <v>73500.0</v>
      </c>
      <c r="D4" s="31">
        <f t="shared" si="1"/>
        <v>0.1074829932</v>
      </c>
      <c r="E4" s="29">
        <v>7.0</v>
      </c>
      <c r="F4" s="30">
        <f t="shared" si="2"/>
        <v>11628.57143</v>
      </c>
    </row>
    <row r="5">
      <c r="A5" s="7" t="s">
        <v>45</v>
      </c>
      <c r="B5" s="12">
        <v>74600.0</v>
      </c>
      <c r="C5" s="12">
        <v>68000.0</v>
      </c>
      <c r="D5" s="15">
        <f t="shared" si="1"/>
        <v>0.09705882353</v>
      </c>
      <c r="E5" s="7">
        <v>6.0</v>
      </c>
      <c r="F5" s="12">
        <f t="shared" si="2"/>
        <v>12433.33333</v>
      </c>
    </row>
    <row r="6">
      <c r="A6" s="29" t="s">
        <v>57</v>
      </c>
      <c r="B6" s="30">
        <v>42100.0</v>
      </c>
      <c r="C6" s="30">
        <v>33300.0</v>
      </c>
      <c r="D6" s="31">
        <f t="shared" si="1"/>
        <v>0.2642642643</v>
      </c>
      <c r="E6" s="29">
        <v>5.0</v>
      </c>
      <c r="F6" s="30">
        <f t="shared" si="2"/>
        <v>8420</v>
      </c>
    </row>
    <row r="7">
      <c r="A7" s="23" t="s">
        <v>129</v>
      </c>
      <c r="B7" s="24">
        <f t="shared" ref="B7:C7" si="3">SUM(B3:B6)</f>
        <v>296300</v>
      </c>
      <c r="C7" s="24">
        <f t="shared" si="3"/>
        <v>261800</v>
      </c>
      <c r="D7" s="25">
        <f t="shared" si="1"/>
        <v>0.1317799847</v>
      </c>
      <c r="E7" s="23">
        <f>SUM(E3:E6)</f>
        <v>25</v>
      </c>
      <c r="F7" s="24">
        <f t="shared" si="2"/>
        <v>11852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3" width="16.0"/>
    <col customWidth="1" min="4" max="4" width="10.0"/>
    <col customWidth="1" min="5" max="5" width="14.0"/>
    <col customWidth="1" min="6" max="26" width="8.71"/>
  </cols>
  <sheetData>
    <row r="1" ht="30.0" customHeight="1">
      <c r="A1" s="1" t="s">
        <v>120</v>
      </c>
      <c r="B1" s="2"/>
      <c r="C1" s="2"/>
      <c r="D1" s="2"/>
      <c r="E1" s="3"/>
    </row>
    <row r="2">
      <c r="A2" s="21" t="s">
        <v>123</v>
      </c>
    </row>
    <row r="3">
      <c r="A3" s="4" t="s">
        <v>10</v>
      </c>
      <c r="B3" s="4" t="s">
        <v>7</v>
      </c>
      <c r="C3" s="4" t="s">
        <v>124</v>
      </c>
      <c r="D3" s="4" t="s">
        <v>125</v>
      </c>
      <c r="E3" s="4" t="s">
        <v>38</v>
      </c>
    </row>
    <row r="4">
      <c r="A4" s="28" t="s">
        <v>126</v>
      </c>
      <c r="B4" s="28" t="s">
        <v>20</v>
      </c>
      <c r="C4" s="28">
        <v>41000.0</v>
      </c>
      <c r="D4" s="28">
        <v>6.0</v>
      </c>
      <c r="E4" s="28">
        <v>3.9</v>
      </c>
    </row>
    <row r="5">
      <c r="A5" s="7" t="s">
        <v>126</v>
      </c>
      <c r="B5" s="7" t="s">
        <v>31</v>
      </c>
      <c r="C5" s="7">
        <v>28000.0</v>
      </c>
      <c r="D5" s="7">
        <v>5.0</v>
      </c>
      <c r="E5" s="7">
        <v>3.7</v>
      </c>
    </row>
    <row r="6">
      <c r="A6" s="28" t="s">
        <v>126</v>
      </c>
      <c r="B6" s="28" t="s">
        <v>42</v>
      </c>
      <c r="C6" s="28">
        <v>18500.0</v>
      </c>
      <c r="D6" s="28">
        <v>4.0</v>
      </c>
      <c r="E6" s="28">
        <v>4.5</v>
      </c>
    </row>
    <row r="7">
      <c r="A7" s="7" t="s">
        <v>127</v>
      </c>
      <c r="B7" s="7" t="s">
        <v>20</v>
      </c>
      <c r="C7" s="7">
        <v>43500.0</v>
      </c>
      <c r="D7" s="7">
        <v>7.0</v>
      </c>
      <c r="E7" s="7">
        <v>4.0</v>
      </c>
    </row>
    <row r="8">
      <c r="A8" s="28" t="s">
        <v>127</v>
      </c>
      <c r="B8" s="28" t="s">
        <v>31</v>
      </c>
      <c r="C8" s="28">
        <v>27000.0</v>
      </c>
      <c r="D8" s="28">
        <v>5.0</v>
      </c>
      <c r="E8" s="28">
        <v>3.6</v>
      </c>
    </row>
    <row r="9">
      <c r="A9" s="7" t="s">
        <v>127</v>
      </c>
      <c r="B9" s="7" t="s">
        <v>42</v>
      </c>
      <c r="C9" s="7">
        <v>19200.0</v>
      </c>
      <c r="D9" s="7">
        <v>4.0</v>
      </c>
      <c r="E9" s="7">
        <v>4.6</v>
      </c>
    </row>
    <row r="10">
      <c r="A10" s="28" t="s">
        <v>128</v>
      </c>
      <c r="B10" s="28" t="s">
        <v>20</v>
      </c>
      <c r="C10" s="28">
        <v>40000.0</v>
      </c>
      <c r="D10" s="28">
        <v>6.0</v>
      </c>
      <c r="E10" s="28">
        <v>4.1</v>
      </c>
    </row>
    <row r="11">
      <c r="A11" s="7" t="s">
        <v>128</v>
      </c>
      <c r="B11" s="7" t="s">
        <v>31</v>
      </c>
      <c r="C11" s="7">
        <v>26500.0</v>
      </c>
      <c r="D11" s="7">
        <v>5.0</v>
      </c>
      <c r="E11" s="7">
        <v>4.0</v>
      </c>
    </row>
    <row r="12">
      <c r="A12" s="28" t="s">
        <v>128</v>
      </c>
      <c r="B12" s="28" t="s">
        <v>42</v>
      </c>
      <c r="C12" s="28">
        <v>17800.0</v>
      </c>
      <c r="D12" s="28">
        <v>3.0</v>
      </c>
      <c r="E12" s="28">
        <v>4.7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6.0"/>
    <col customWidth="1" min="3" max="3" width="10.0"/>
    <col customWidth="1" min="4" max="26" width="8.71"/>
  </cols>
  <sheetData>
    <row r="1">
      <c r="A1" s="32" t="s">
        <v>130</v>
      </c>
    </row>
    <row r="3">
      <c r="A3" s="33" t="s">
        <v>131</v>
      </c>
    </row>
    <row r="4">
      <c r="A4" s="8" t="s">
        <v>132</v>
      </c>
    </row>
    <row r="5">
      <c r="A5" s="33" t="s">
        <v>133</v>
      </c>
    </row>
    <row r="7">
      <c r="A7" s="34" t="s">
        <v>10</v>
      </c>
      <c r="B7" s="34" t="s">
        <v>134</v>
      </c>
      <c r="C7" s="34" t="s">
        <v>125</v>
      </c>
    </row>
    <row r="8">
      <c r="A8" s="7" t="s">
        <v>126</v>
      </c>
      <c r="B8" s="12">
        <v>92400.0</v>
      </c>
      <c r="C8" s="7">
        <v>18.0</v>
      </c>
    </row>
    <row r="9">
      <c r="A9" s="7" t="s">
        <v>127</v>
      </c>
      <c r="B9" s="12">
        <v>97300.0</v>
      </c>
      <c r="C9" s="7">
        <v>20.0</v>
      </c>
    </row>
    <row r="10">
      <c r="A10" s="7" t="s">
        <v>128</v>
      </c>
      <c r="B10" s="12">
        <v>88700.0</v>
      </c>
      <c r="C10" s="7">
        <v>17.0</v>
      </c>
    </row>
    <row r="12">
      <c r="A12" s="35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14.0"/>
    <col customWidth="1" min="4" max="5" width="16.0"/>
    <col customWidth="1" min="6" max="26" width="8.71"/>
  </cols>
  <sheetData>
    <row r="1" ht="30.0" customHeight="1">
      <c r="A1" s="1" t="s">
        <v>136</v>
      </c>
      <c r="B1" s="2"/>
      <c r="C1" s="2"/>
      <c r="D1" s="2"/>
      <c r="E1" s="3"/>
    </row>
    <row r="2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</row>
    <row r="3">
      <c r="A3" s="7" t="s">
        <v>142</v>
      </c>
      <c r="B3" s="12">
        <v>38000.0</v>
      </c>
      <c r="C3" s="12">
        <v>41200.0</v>
      </c>
      <c r="D3" s="12">
        <v>36800.0</v>
      </c>
      <c r="E3" s="12">
        <f t="shared" ref="E3:E8" si="1">B3+C3+D3</f>
        <v>116000</v>
      </c>
    </row>
    <row r="4">
      <c r="A4" s="36" t="s">
        <v>144</v>
      </c>
      <c r="B4" s="37">
        <v>9200.0</v>
      </c>
      <c r="C4" s="37">
        <v>10100.0</v>
      </c>
      <c r="D4" s="37">
        <v>8700.0</v>
      </c>
      <c r="E4" s="37">
        <f t="shared" si="1"/>
        <v>28000</v>
      </c>
    </row>
    <row r="5">
      <c r="A5" s="7" t="s">
        <v>150</v>
      </c>
      <c r="B5" s="12">
        <v>5400.0</v>
      </c>
      <c r="C5" s="12">
        <v>5400.0</v>
      </c>
      <c r="D5" s="12">
        <v>5400.0</v>
      </c>
      <c r="E5" s="12">
        <f t="shared" si="1"/>
        <v>16200</v>
      </c>
    </row>
    <row r="6">
      <c r="A6" s="36" t="s">
        <v>153</v>
      </c>
      <c r="B6" s="37">
        <v>3200.0</v>
      </c>
      <c r="C6" s="37">
        <v>4100.0</v>
      </c>
      <c r="D6" s="37">
        <v>2900.0</v>
      </c>
      <c r="E6" s="37">
        <f t="shared" si="1"/>
        <v>10200</v>
      </c>
    </row>
    <row r="7">
      <c r="A7" s="7" t="s">
        <v>154</v>
      </c>
      <c r="B7" s="12">
        <v>7800.0</v>
      </c>
      <c r="C7" s="12">
        <v>7800.0</v>
      </c>
      <c r="D7" s="12">
        <v>7800.0</v>
      </c>
      <c r="E7" s="12">
        <f t="shared" si="1"/>
        <v>23400</v>
      </c>
    </row>
    <row r="8">
      <c r="A8" s="36" t="s">
        <v>155</v>
      </c>
      <c r="B8" s="37">
        <v>1200.0</v>
      </c>
      <c r="C8" s="37">
        <v>1400.0</v>
      </c>
      <c r="D8" s="37">
        <v>900.0</v>
      </c>
      <c r="E8" s="37">
        <f t="shared" si="1"/>
        <v>3500</v>
      </c>
    </row>
    <row r="9">
      <c r="A9" s="23" t="s">
        <v>129</v>
      </c>
      <c r="B9" s="24">
        <f t="shared" ref="B9:E9" si="2">SUM(B3:B8)</f>
        <v>64800</v>
      </c>
      <c r="C9" s="24">
        <f t="shared" si="2"/>
        <v>70000</v>
      </c>
      <c r="D9" s="24">
        <f t="shared" si="2"/>
        <v>62500</v>
      </c>
      <c r="E9" s="24">
        <f t="shared" si="2"/>
        <v>197300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5" width="18.0"/>
    <col customWidth="1" min="6" max="7" width="12.0"/>
    <col customWidth="1" min="8" max="26" width="8.71"/>
  </cols>
  <sheetData>
    <row r="1" ht="30.0" customHeight="1">
      <c r="A1" s="1" t="s">
        <v>143</v>
      </c>
      <c r="B1" s="2"/>
      <c r="C1" s="2"/>
      <c r="D1" s="2"/>
      <c r="E1" s="2"/>
      <c r="F1" s="2"/>
      <c r="G1" s="3"/>
    </row>
    <row r="2">
      <c r="A2" s="21" t="s">
        <v>145</v>
      </c>
    </row>
    <row r="3">
      <c r="A3" s="4" t="s">
        <v>146</v>
      </c>
      <c r="B3" s="4" t="s">
        <v>7</v>
      </c>
      <c r="C3" s="4" t="s">
        <v>147</v>
      </c>
      <c r="D3" s="4" t="s">
        <v>148</v>
      </c>
      <c r="E3" s="4" t="s">
        <v>149</v>
      </c>
      <c r="F3" s="4" t="s">
        <v>32</v>
      </c>
      <c r="G3" s="4" t="s">
        <v>151</v>
      </c>
    </row>
    <row r="4">
      <c r="A4" s="38" t="s">
        <v>152</v>
      </c>
      <c r="B4" s="38" t="s">
        <v>20</v>
      </c>
      <c r="C4" s="39">
        <v>115000.0</v>
      </c>
      <c r="D4" s="39">
        <v>132250.0</v>
      </c>
      <c r="E4" s="39">
        <v>128400.0</v>
      </c>
      <c r="F4" s="40">
        <f t="shared" ref="F4:F12" si="1">(E4-D4)/D4</f>
        <v>-0.02911153119</v>
      </c>
      <c r="G4" s="40">
        <f t="shared" ref="G4:G12" si="2">(E4-C4)/C4</f>
        <v>0.1165217391</v>
      </c>
    </row>
    <row r="5">
      <c r="A5" s="7" t="s">
        <v>152</v>
      </c>
      <c r="B5" s="7" t="s">
        <v>31</v>
      </c>
      <c r="C5" s="12">
        <v>74000.0</v>
      </c>
      <c r="D5" s="12">
        <v>85100.0</v>
      </c>
      <c r="E5" s="12">
        <v>79200.0</v>
      </c>
      <c r="F5" s="15">
        <f t="shared" si="1"/>
        <v>-0.06933019976</v>
      </c>
      <c r="G5" s="15">
        <f t="shared" si="2"/>
        <v>0.07027027027</v>
      </c>
    </row>
    <row r="6">
      <c r="A6" s="38" t="s">
        <v>152</v>
      </c>
      <c r="B6" s="38" t="s">
        <v>42</v>
      </c>
      <c r="C6" s="39">
        <v>48000.0</v>
      </c>
      <c r="D6" s="39">
        <v>55200.0</v>
      </c>
      <c r="E6" s="39">
        <v>53800.0</v>
      </c>
      <c r="F6" s="40">
        <f t="shared" si="1"/>
        <v>-0.02536231884</v>
      </c>
      <c r="G6" s="40">
        <f t="shared" si="2"/>
        <v>0.1208333333</v>
      </c>
    </row>
    <row r="7">
      <c r="A7" s="7" t="s">
        <v>156</v>
      </c>
      <c r="B7" s="7" t="s">
        <v>20</v>
      </c>
      <c r="C7" s="12">
        <v>128000.0</v>
      </c>
      <c r="D7" s="12">
        <v>147200.0</v>
      </c>
      <c r="E7" s="12">
        <v>151300.0</v>
      </c>
      <c r="F7" s="15">
        <f t="shared" si="1"/>
        <v>0.02785326087</v>
      </c>
      <c r="G7" s="15">
        <f t="shared" si="2"/>
        <v>0.18203125</v>
      </c>
    </row>
    <row r="8">
      <c r="A8" s="38" t="s">
        <v>156</v>
      </c>
      <c r="B8" s="38" t="s">
        <v>31</v>
      </c>
      <c r="C8" s="39">
        <v>82000.0</v>
      </c>
      <c r="D8" s="39">
        <v>94300.0</v>
      </c>
      <c r="E8" s="39">
        <v>88700.0</v>
      </c>
      <c r="F8" s="40">
        <f t="shared" si="1"/>
        <v>-0.05938494168</v>
      </c>
      <c r="G8" s="40">
        <f t="shared" si="2"/>
        <v>0.08170731707</v>
      </c>
    </row>
    <row r="9">
      <c r="A9" s="7" t="s">
        <v>156</v>
      </c>
      <c r="B9" s="7" t="s">
        <v>42</v>
      </c>
      <c r="C9" s="12">
        <v>54000.0</v>
      </c>
      <c r="D9" s="12">
        <v>62100.0</v>
      </c>
      <c r="E9" s="12">
        <v>60200.0</v>
      </c>
      <c r="F9" s="15">
        <f t="shared" si="1"/>
        <v>-0.0305958132</v>
      </c>
      <c r="G9" s="15">
        <f t="shared" si="2"/>
        <v>0.1148148148</v>
      </c>
    </row>
    <row r="10">
      <c r="A10" s="38" t="s">
        <v>166</v>
      </c>
      <c r="B10" s="38" t="s">
        <v>20</v>
      </c>
      <c r="C10" s="39">
        <v>124500.0</v>
      </c>
      <c r="D10" s="39">
        <v>143175.0</v>
      </c>
      <c r="E10" s="39">
        <v>145100.0</v>
      </c>
      <c r="F10" s="40">
        <f t="shared" si="1"/>
        <v>0.01344508469</v>
      </c>
      <c r="G10" s="40">
        <f t="shared" si="2"/>
        <v>0.1654618474</v>
      </c>
    </row>
    <row r="11">
      <c r="A11" s="7" t="s">
        <v>166</v>
      </c>
      <c r="B11" s="7" t="s">
        <v>31</v>
      </c>
      <c r="C11" s="12">
        <v>81500.0</v>
      </c>
      <c r="D11" s="12">
        <v>93725.0</v>
      </c>
      <c r="E11" s="12">
        <v>91200.0</v>
      </c>
      <c r="F11" s="15">
        <f t="shared" si="1"/>
        <v>-0.02694051747</v>
      </c>
      <c r="G11" s="15">
        <f t="shared" si="2"/>
        <v>0.1190184049</v>
      </c>
    </row>
    <row r="12">
      <c r="A12" s="38" t="s">
        <v>166</v>
      </c>
      <c r="B12" s="38" t="s">
        <v>42</v>
      </c>
      <c r="C12" s="39">
        <v>55500.0</v>
      </c>
      <c r="D12" s="39">
        <v>63825.0</v>
      </c>
      <c r="E12" s="39">
        <v>60000.0</v>
      </c>
      <c r="F12" s="40">
        <f t="shared" si="1"/>
        <v>-0.05992949471</v>
      </c>
      <c r="G12" s="40">
        <f t="shared" si="2"/>
        <v>0.08108108108</v>
      </c>
    </row>
    <row r="13">
      <c r="A13" s="7" t="s">
        <v>171</v>
      </c>
      <c r="B13" s="7" t="s">
        <v>20</v>
      </c>
      <c r="C13" s="12">
        <v>119000.0</v>
      </c>
      <c r="D13" s="12">
        <v>136850.0</v>
      </c>
      <c r="E13" s="7" t="s">
        <v>172</v>
      </c>
      <c r="F13" s="7" t="s">
        <v>174</v>
      </c>
      <c r="G13" s="7" t="s">
        <v>174</v>
      </c>
    </row>
    <row r="14">
      <c r="A14" s="38" t="s">
        <v>171</v>
      </c>
      <c r="B14" s="38" t="s">
        <v>31</v>
      </c>
      <c r="C14" s="39">
        <v>79000.0</v>
      </c>
      <c r="D14" s="39">
        <v>90850.0</v>
      </c>
      <c r="E14" s="38" t="s">
        <v>172</v>
      </c>
      <c r="F14" s="38" t="s">
        <v>174</v>
      </c>
      <c r="G14" s="38" t="s">
        <v>174</v>
      </c>
    </row>
    <row r="15">
      <c r="A15" s="7" t="s">
        <v>171</v>
      </c>
      <c r="B15" s="7" t="s">
        <v>42</v>
      </c>
      <c r="C15" s="12">
        <v>52000.0</v>
      </c>
      <c r="D15" s="12">
        <v>59800.0</v>
      </c>
      <c r="E15" s="7" t="s">
        <v>172</v>
      </c>
      <c r="F15" s="7" t="s">
        <v>174</v>
      </c>
      <c r="G15" s="7" t="s">
        <v>174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3" width="16.0"/>
    <col customWidth="1" min="4" max="4" width="10.0"/>
    <col customWidth="1" min="5" max="5" width="30.0"/>
    <col customWidth="1" min="6" max="26" width="8.71"/>
  </cols>
  <sheetData>
    <row r="1" ht="30.0" customHeight="1">
      <c r="A1" s="1" t="s">
        <v>157</v>
      </c>
      <c r="B1" s="2"/>
      <c r="C1" s="2"/>
      <c r="D1" s="2"/>
      <c r="E1" s="3"/>
    </row>
    <row r="2">
      <c r="A2" s="41" t="s">
        <v>159</v>
      </c>
    </row>
    <row r="3">
      <c r="A3" s="4" t="s">
        <v>10</v>
      </c>
      <c r="B3" s="4" t="s">
        <v>7</v>
      </c>
      <c r="C3" s="4" t="s">
        <v>163</v>
      </c>
      <c r="D3" s="4" t="s">
        <v>125</v>
      </c>
      <c r="E3" s="4" t="s">
        <v>43</v>
      </c>
    </row>
    <row r="4">
      <c r="A4" s="7" t="s">
        <v>36</v>
      </c>
      <c r="B4" s="7" t="s">
        <v>20</v>
      </c>
      <c r="C4" s="12">
        <v>12400.0</v>
      </c>
      <c r="D4" s="7">
        <v>3.0</v>
      </c>
      <c r="E4" s="7"/>
    </row>
    <row r="5">
      <c r="A5" s="7" t="s">
        <v>14</v>
      </c>
      <c r="B5" s="7" t="s">
        <v>20</v>
      </c>
      <c r="C5" s="12">
        <v>14200.0</v>
      </c>
      <c r="D5" s="7">
        <v>4.0</v>
      </c>
      <c r="E5" s="7"/>
    </row>
    <row r="6">
      <c r="A6" s="7" t="s">
        <v>14</v>
      </c>
      <c r="B6" s="7" t="s">
        <v>31</v>
      </c>
      <c r="C6" s="12">
        <v>8900.0</v>
      </c>
      <c r="D6" s="7">
        <v>2.0</v>
      </c>
      <c r="E6" s="7" t="s">
        <v>167</v>
      </c>
    </row>
    <row r="7">
      <c r="A7" s="7" t="s">
        <v>80</v>
      </c>
      <c r="B7" s="7" t="s">
        <v>20</v>
      </c>
      <c r="C7" s="12">
        <v>11800.0</v>
      </c>
      <c r="D7" s="7">
        <v>3.0</v>
      </c>
      <c r="E7" s="7"/>
    </row>
    <row r="9">
      <c r="A9" s="43" t="s">
        <v>169</v>
      </c>
    </row>
    <row r="10">
      <c r="A10" s="43" t="s">
        <v>170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2.0"/>
    <col customWidth="1" min="3" max="4" width="20.0"/>
    <col customWidth="1" min="5" max="5" width="10.0"/>
    <col customWidth="1" min="6" max="6" width="36.0"/>
    <col customWidth="1" min="7" max="26" width="8.71"/>
  </cols>
  <sheetData>
    <row r="1" ht="30.0" customHeight="1">
      <c r="A1" s="1" t="s">
        <v>158</v>
      </c>
      <c r="B1" s="2"/>
      <c r="C1" s="2"/>
      <c r="D1" s="2"/>
      <c r="E1" s="2"/>
      <c r="F1" s="3"/>
    </row>
    <row r="2">
      <c r="A2" s="4" t="s">
        <v>160</v>
      </c>
      <c r="B2" s="4" t="s">
        <v>9</v>
      </c>
      <c r="C2" s="4" t="s">
        <v>161</v>
      </c>
      <c r="D2" s="4" t="s">
        <v>162</v>
      </c>
      <c r="E2" s="4" t="s">
        <v>164</v>
      </c>
      <c r="F2" s="4" t="s">
        <v>43</v>
      </c>
    </row>
    <row r="3">
      <c r="A3" s="7" t="s">
        <v>165</v>
      </c>
      <c r="B3" s="7" t="s">
        <v>22</v>
      </c>
      <c r="C3" s="7">
        <v>3.0</v>
      </c>
      <c r="D3" s="7">
        <v>2.0</v>
      </c>
      <c r="E3" s="7">
        <f t="shared" ref="E3:E10" si="1">C3-D3</f>
        <v>1</v>
      </c>
      <c r="F3" s="7"/>
    </row>
    <row r="4">
      <c r="A4" s="42" t="s">
        <v>165</v>
      </c>
      <c r="B4" s="42" t="s">
        <v>35</v>
      </c>
      <c r="C4" s="42">
        <v>2.0</v>
      </c>
      <c r="D4" s="42">
        <v>2.0</v>
      </c>
      <c r="E4" s="42">
        <f t="shared" si="1"/>
        <v>0</v>
      </c>
      <c r="F4" s="42"/>
    </row>
    <row r="5">
      <c r="A5" s="7" t="s">
        <v>168</v>
      </c>
      <c r="B5" s="7" t="s">
        <v>35</v>
      </c>
      <c r="C5" s="7">
        <v>2.0</v>
      </c>
      <c r="D5" s="7">
        <v>2.0</v>
      </c>
      <c r="E5" s="7">
        <f t="shared" si="1"/>
        <v>0</v>
      </c>
      <c r="F5" s="7"/>
    </row>
    <row r="6">
      <c r="A6" s="42" t="s">
        <v>168</v>
      </c>
      <c r="B6" s="42" t="s">
        <v>57</v>
      </c>
      <c r="C6" s="42">
        <v>2.0</v>
      </c>
      <c r="D6" s="42">
        <v>1.0</v>
      </c>
      <c r="E6" s="42">
        <f t="shared" si="1"/>
        <v>1</v>
      </c>
      <c r="F6" s="42" t="s">
        <v>173</v>
      </c>
    </row>
    <row r="7">
      <c r="A7" s="7" t="s">
        <v>175</v>
      </c>
      <c r="B7" s="7" t="s">
        <v>45</v>
      </c>
      <c r="C7" s="7">
        <v>2.0</v>
      </c>
      <c r="D7" s="7">
        <v>2.0</v>
      </c>
      <c r="E7" s="7">
        <f t="shared" si="1"/>
        <v>0</v>
      </c>
      <c r="F7" s="7"/>
    </row>
    <row r="8">
      <c r="A8" s="42" t="s">
        <v>175</v>
      </c>
      <c r="B8" s="42" t="s">
        <v>57</v>
      </c>
      <c r="C8" s="42">
        <v>1.0</v>
      </c>
      <c r="D8" s="42">
        <v>1.0</v>
      </c>
      <c r="E8" s="42">
        <f t="shared" si="1"/>
        <v>0</v>
      </c>
      <c r="F8" s="42"/>
    </row>
    <row r="9">
      <c r="A9" s="7" t="s">
        <v>176</v>
      </c>
      <c r="B9" s="7" t="s">
        <v>177</v>
      </c>
      <c r="C9" s="7">
        <v>3.0</v>
      </c>
      <c r="D9" s="7">
        <v>3.0</v>
      </c>
      <c r="E9" s="7">
        <f t="shared" si="1"/>
        <v>0</v>
      </c>
      <c r="F9" s="7" t="s">
        <v>178</v>
      </c>
    </row>
    <row r="10">
      <c r="A10" s="42" t="s">
        <v>179</v>
      </c>
      <c r="B10" s="42" t="s">
        <v>177</v>
      </c>
      <c r="C10" s="42">
        <v>1.0</v>
      </c>
      <c r="D10" s="42">
        <v>1.0</v>
      </c>
      <c r="E10" s="42">
        <f t="shared" si="1"/>
        <v>0</v>
      </c>
      <c r="F10" s="42"/>
    </row>
    <row r="12">
      <c r="A12" s="21" t="s">
        <v>180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